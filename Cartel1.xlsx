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anuelefurnari/Desktop/birdbase/"/>
    </mc:Choice>
  </mc:AlternateContent>
  <xr:revisionPtr revIDLastSave="0" documentId="8_{5DF59F6C-5470-4E4C-98E6-F03AD7B22CC6}" xr6:coauthVersionLast="47" xr6:coauthVersionMax="47" xr10:uidLastSave="{00000000-0000-0000-0000-000000000000}"/>
  <bookViews>
    <workbookView xWindow="680" yWindow="740" windowWidth="28040" windowHeight="17000" xr2:uid="{73A875C8-C852-A541-B32C-CA66D9740B64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M5" i="1" s="1"/>
  <c r="K7" i="1"/>
  <c r="M7" i="1" s="1"/>
  <c r="K8" i="1"/>
  <c r="M8" i="1" s="1"/>
  <c r="K9" i="1"/>
  <c r="M9" i="1" s="1"/>
  <c r="K10" i="1"/>
  <c r="M10" i="1" s="1"/>
  <c r="K13" i="1"/>
  <c r="K14" i="1"/>
  <c r="K15" i="1"/>
  <c r="M15" i="1" s="1"/>
  <c r="K19" i="1"/>
  <c r="M19" i="1" s="1"/>
  <c r="K20" i="1"/>
  <c r="M20" i="1" s="1"/>
  <c r="K23" i="1"/>
  <c r="M23" i="1" s="1"/>
  <c r="K25" i="1"/>
  <c r="M25" i="1" s="1"/>
  <c r="K1" i="1"/>
  <c r="M1" i="1" s="1"/>
  <c r="M4" i="1"/>
  <c r="M13" i="1"/>
  <c r="M14" i="1"/>
  <c r="M2" i="1"/>
  <c r="M3" i="1"/>
  <c r="G3" i="1"/>
  <c r="G4" i="1"/>
  <c r="G5" i="1"/>
  <c r="G6" i="1"/>
  <c r="F5" i="1"/>
  <c r="K24" i="1" s="1"/>
  <c r="M24" i="1" s="1"/>
  <c r="F4" i="1"/>
  <c r="E4" i="1"/>
  <c r="K18" i="1" s="1"/>
  <c r="M18" i="1" s="1"/>
  <c r="F3" i="1"/>
  <c r="K22" i="1" s="1"/>
  <c r="M22" i="1" s="1"/>
  <c r="E3" i="1"/>
  <c r="K17" i="1" s="1"/>
  <c r="M17" i="1" s="1"/>
  <c r="D3" i="1"/>
  <c r="K12" i="1" s="1"/>
  <c r="M12" i="1" s="1"/>
  <c r="F2" i="1"/>
  <c r="K21" i="1" s="1"/>
  <c r="M21" i="1" s="1"/>
  <c r="E2" i="1"/>
  <c r="K16" i="1" s="1"/>
  <c r="M16" i="1" s="1"/>
  <c r="D2" i="1"/>
  <c r="K11" i="1" s="1"/>
  <c r="M11" i="1" s="1"/>
  <c r="C2" i="1"/>
  <c r="K6" i="1" s="1"/>
  <c r="M6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E1E9-AC2E-1E4A-8495-222CC8A93F40}">
  <dimension ref="A1:M25"/>
  <sheetViews>
    <sheetView tabSelected="1" workbookViewId="0">
      <selection activeCell="M1" sqref="M1"/>
    </sheetView>
  </sheetViews>
  <sheetFormatPr baseColWidth="10" defaultColWidth="8.33203125" defaultRowHeight="50" customHeight="1" x14ac:dyDescent="0.2"/>
  <cols>
    <col min="1" max="11" width="8.33203125" style="5"/>
    <col min="12" max="12" width="16.5" style="5" customWidth="1"/>
    <col min="13" max="13" width="28.6640625" style="5" customWidth="1"/>
    <col min="14" max="16384" width="8.33203125" style="5"/>
  </cols>
  <sheetData>
    <row r="1" spans="1:13" ht="50" customHeight="1" thickBot="1" x14ac:dyDescent="0.25">
      <c r="A1" s="1"/>
      <c r="B1" s="2">
        <v>0</v>
      </c>
      <c r="C1" s="3">
        <v>1</v>
      </c>
      <c r="D1" s="3">
        <v>2</v>
      </c>
      <c r="E1" s="3">
        <v>3</v>
      </c>
      <c r="F1" s="4">
        <v>4</v>
      </c>
      <c r="I1" s="5">
        <v>0</v>
      </c>
      <c r="J1" s="5">
        <v>0</v>
      </c>
      <c r="K1" s="5">
        <f>HLOOKUP(I1,A$1:F$6,J1+2)</f>
        <v>100</v>
      </c>
      <c r="M1" s="5" t="str">
        <f>""""&amp;I1&amp;","&amp;J1&amp;""":"&amp;K1&amp;","</f>
        <v>"0,0":100,</v>
      </c>
    </row>
    <row r="2" spans="1:13" ht="50" customHeight="1" x14ac:dyDescent="0.2">
      <c r="A2" s="6">
        <v>0</v>
      </c>
      <c r="B2" s="7">
        <v>100</v>
      </c>
      <c r="C2" s="15">
        <f>B3</f>
        <v>90</v>
      </c>
      <c r="D2" s="15">
        <f>B4</f>
        <v>70</v>
      </c>
      <c r="E2" s="15">
        <f>B5</f>
        <v>40</v>
      </c>
      <c r="F2" s="16">
        <f>B6</f>
        <v>20</v>
      </c>
      <c r="I2" s="5">
        <v>0</v>
      </c>
      <c r="J2" s="5">
        <v>1</v>
      </c>
      <c r="K2" s="5">
        <f>HLOOKUP(I2,A$1:F$6,J2+2)</f>
        <v>90</v>
      </c>
      <c r="M2" s="5" t="str">
        <f t="shared" ref="M2:M14" si="0">""""&amp;I2&amp;","&amp;J2&amp;""":"&amp;K2&amp;","</f>
        <v>"0,1":90,</v>
      </c>
    </row>
    <row r="3" spans="1:13" ht="50" customHeight="1" x14ac:dyDescent="0.2">
      <c r="A3" s="8">
        <v>1</v>
      </c>
      <c r="B3" s="9">
        <v>90</v>
      </c>
      <c r="C3" s="10">
        <v>80</v>
      </c>
      <c r="D3" s="17">
        <f>C4</f>
        <v>60</v>
      </c>
      <c r="E3" s="17">
        <f>C5</f>
        <v>35</v>
      </c>
      <c r="F3" s="18">
        <f>C6</f>
        <v>18</v>
      </c>
      <c r="G3" s="5">
        <f>B2-C3</f>
        <v>20</v>
      </c>
      <c r="I3" s="5">
        <v>0</v>
      </c>
      <c r="J3" s="5">
        <v>2</v>
      </c>
      <c r="K3" s="5">
        <f>HLOOKUP(I3,A$1:F$6,J3+2)</f>
        <v>70</v>
      </c>
      <c r="M3" s="5" t="str">
        <f t="shared" si="0"/>
        <v>"0,2":70,</v>
      </c>
    </row>
    <row r="4" spans="1:13" ht="50" customHeight="1" x14ac:dyDescent="0.2">
      <c r="A4" s="8">
        <v>2</v>
      </c>
      <c r="B4" s="9">
        <v>70</v>
      </c>
      <c r="C4" s="10">
        <v>60</v>
      </c>
      <c r="D4" s="10">
        <v>50</v>
      </c>
      <c r="E4" s="17">
        <f>D5</f>
        <v>30</v>
      </c>
      <c r="F4" s="18">
        <f>D6</f>
        <v>13</v>
      </c>
      <c r="G4" s="5">
        <f>C3-D4</f>
        <v>30</v>
      </c>
      <c r="I4" s="5">
        <v>0</v>
      </c>
      <c r="J4" s="5">
        <v>3</v>
      </c>
      <c r="K4" s="5">
        <f>HLOOKUP(I4,A$1:F$6,J4+2)</f>
        <v>40</v>
      </c>
      <c r="M4" s="5" t="str">
        <f t="shared" si="0"/>
        <v>"0,3":40,</v>
      </c>
    </row>
    <row r="5" spans="1:13" ht="50" customHeight="1" x14ac:dyDescent="0.2">
      <c r="A5" s="8">
        <v>3</v>
      </c>
      <c r="B5" s="9">
        <v>40</v>
      </c>
      <c r="C5" s="10">
        <v>35</v>
      </c>
      <c r="D5" s="10">
        <v>30</v>
      </c>
      <c r="E5" s="10">
        <v>25</v>
      </c>
      <c r="F5" s="18">
        <f>E6</f>
        <v>8</v>
      </c>
      <c r="G5" s="5">
        <f>D4-E5</f>
        <v>25</v>
      </c>
      <c r="I5" s="5">
        <v>0</v>
      </c>
      <c r="J5" s="5">
        <v>4</v>
      </c>
      <c r="K5" s="5">
        <f>HLOOKUP(I5,A$1:F$6,J5+2)</f>
        <v>20</v>
      </c>
      <c r="M5" s="5" t="str">
        <f t="shared" si="0"/>
        <v>"0,4":20,</v>
      </c>
    </row>
    <row r="6" spans="1:13" ht="50" customHeight="1" thickBot="1" x14ac:dyDescent="0.25">
      <c r="A6" s="11">
        <v>4</v>
      </c>
      <c r="B6" s="12">
        <v>20</v>
      </c>
      <c r="C6" s="13">
        <v>18</v>
      </c>
      <c r="D6" s="13">
        <v>13</v>
      </c>
      <c r="E6" s="13">
        <v>8</v>
      </c>
      <c r="F6" s="14">
        <v>5</v>
      </c>
      <c r="G6" s="5">
        <f>E5-F6</f>
        <v>20</v>
      </c>
      <c r="I6" s="5">
        <v>1</v>
      </c>
      <c r="J6" s="5">
        <v>0</v>
      </c>
      <c r="K6" s="5">
        <f>HLOOKUP(I6,A$1:F$6,J6+2)</f>
        <v>90</v>
      </c>
      <c r="M6" s="5" t="str">
        <f t="shared" si="0"/>
        <v>"1,0":90,</v>
      </c>
    </row>
    <row r="7" spans="1:13" ht="50" customHeight="1" x14ac:dyDescent="0.2">
      <c r="I7" s="5">
        <v>1</v>
      </c>
      <c r="J7" s="5">
        <v>1</v>
      </c>
      <c r="K7" s="5">
        <f>HLOOKUP(I7,A$1:F$6,J7+2)</f>
        <v>80</v>
      </c>
      <c r="M7" s="5" t="str">
        <f t="shared" si="0"/>
        <v>"1,1":80,</v>
      </c>
    </row>
    <row r="8" spans="1:13" ht="50" customHeight="1" x14ac:dyDescent="0.2">
      <c r="I8" s="5">
        <v>1</v>
      </c>
      <c r="J8" s="5">
        <v>2</v>
      </c>
      <c r="K8" s="5">
        <f>HLOOKUP(I8,A$1:F$6,J8+2)</f>
        <v>60</v>
      </c>
      <c r="M8" s="5" t="str">
        <f>""""&amp;I8&amp;","&amp;J8&amp;""":"&amp;K8&amp;","</f>
        <v>"1,2":60,</v>
      </c>
    </row>
    <row r="9" spans="1:13" ht="50" customHeight="1" x14ac:dyDescent="0.2">
      <c r="I9" s="5">
        <v>1</v>
      </c>
      <c r="J9" s="5">
        <v>3</v>
      </c>
      <c r="K9" s="5">
        <f>HLOOKUP(I9,A$1:F$6,J9+2)</f>
        <v>35</v>
      </c>
      <c r="M9" s="5" t="str">
        <f t="shared" si="0"/>
        <v>"1,3":35,</v>
      </c>
    </row>
    <row r="10" spans="1:13" ht="50" customHeight="1" x14ac:dyDescent="0.2">
      <c r="I10" s="5">
        <v>1</v>
      </c>
      <c r="J10" s="5">
        <v>4</v>
      </c>
      <c r="K10" s="5">
        <f>HLOOKUP(I10,A$1:F$6,J10+2)</f>
        <v>18</v>
      </c>
      <c r="M10" s="5" t="str">
        <f t="shared" si="0"/>
        <v>"1,4":18,</v>
      </c>
    </row>
    <row r="11" spans="1:13" ht="50" customHeight="1" x14ac:dyDescent="0.2">
      <c r="I11" s="5">
        <v>2</v>
      </c>
      <c r="J11" s="5">
        <v>0</v>
      </c>
      <c r="K11" s="5">
        <f>HLOOKUP(I11,A$1:F$6,J11+2)</f>
        <v>70</v>
      </c>
      <c r="M11" s="5" t="str">
        <f t="shared" si="0"/>
        <v>"2,0":70,</v>
      </c>
    </row>
    <row r="12" spans="1:13" ht="50" customHeight="1" x14ac:dyDescent="0.2">
      <c r="I12" s="5">
        <v>2</v>
      </c>
      <c r="J12" s="5">
        <v>1</v>
      </c>
      <c r="K12" s="5">
        <f>HLOOKUP(I12,A$1:F$6,J12+2)</f>
        <v>60</v>
      </c>
      <c r="M12" s="5" t="str">
        <f t="shared" si="0"/>
        <v>"2,1":60,</v>
      </c>
    </row>
    <row r="13" spans="1:13" ht="50" customHeight="1" x14ac:dyDescent="0.2">
      <c r="I13" s="5">
        <v>2</v>
      </c>
      <c r="J13" s="5">
        <v>2</v>
      </c>
      <c r="K13" s="5">
        <f>HLOOKUP(I13,A$1:F$6,J13+2)</f>
        <v>50</v>
      </c>
      <c r="M13" s="5" t="str">
        <f t="shared" si="0"/>
        <v>"2,2":50,</v>
      </c>
    </row>
    <row r="14" spans="1:13" ht="50" customHeight="1" x14ac:dyDescent="0.2">
      <c r="I14" s="5">
        <v>2</v>
      </c>
      <c r="J14" s="5">
        <v>3</v>
      </c>
      <c r="K14" s="5">
        <f>HLOOKUP(I14,A$1:F$6,J14+2)</f>
        <v>30</v>
      </c>
      <c r="M14" s="5" t="str">
        <f t="shared" si="0"/>
        <v>"2,3":30,</v>
      </c>
    </row>
    <row r="15" spans="1:13" ht="50" customHeight="1" x14ac:dyDescent="0.2">
      <c r="I15" s="5">
        <v>2</v>
      </c>
      <c r="J15" s="5">
        <v>4</v>
      </c>
      <c r="K15" s="5">
        <f>HLOOKUP(I15,A$1:F$6,J15+2)</f>
        <v>13</v>
      </c>
      <c r="M15" s="5" t="str">
        <f>""""&amp;I15&amp;","&amp;J15&amp;""":"&amp;K15&amp;","</f>
        <v>"2,4":13,</v>
      </c>
    </row>
    <row r="16" spans="1:13" ht="50" customHeight="1" x14ac:dyDescent="0.2">
      <c r="I16" s="5">
        <v>3</v>
      </c>
      <c r="J16" s="5">
        <v>0</v>
      </c>
      <c r="K16" s="5">
        <f>HLOOKUP(I16,A$1:F$6,J16+2)</f>
        <v>40</v>
      </c>
      <c r="M16" s="5" t="str">
        <f t="shared" ref="M16:M25" si="1">""""&amp;I16&amp;","&amp;J16&amp;""":"&amp;K16&amp;","</f>
        <v>"3,0":40,</v>
      </c>
    </row>
    <row r="17" spans="9:13" ht="50" customHeight="1" x14ac:dyDescent="0.2">
      <c r="I17" s="5">
        <v>3</v>
      </c>
      <c r="J17" s="5">
        <v>1</v>
      </c>
      <c r="K17" s="5">
        <f>HLOOKUP(I17,A$1:F$6,J17+2)</f>
        <v>35</v>
      </c>
      <c r="M17" s="5" t="str">
        <f t="shared" si="1"/>
        <v>"3,1":35,</v>
      </c>
    </row>
    <row r="18" spans="9:13" ht="50" customHeight="1" x14ac:dyDescent="0.2">
      <c r="I18" s="5">
        <v>3</v>
      </c>
      <c r="J18" s="5">
        <v>2</v>
      </c>
      <c r="K18" s="5">
        <f>HLOOKUP(I18,A$1:F$6,J18+2)</f>
        <v>30</v>
      </c>
      <c r="M18" s="5" t="str">
        <f t="shared" si="1"/>
        <v>"3,2":30,</v>
      </c>
    </row>
    <row r="19" spans="9:13" ht="50" customHeight="1" x14ac:dyDescent="0.2">
      <c r="I19" s="5">
        <v>3</v>
      </c>
      <c r="J19" s="5">
        <v>3</v>
      </c>
      <c r="K19" s="5">
        <f>HLOOKUP(I19,A$1:F$6,J19+2)</f>
        <v>25</v>
      </c>
      <c r="M19" s="5" t="str">
        <f t="shared" si="1"/>
        <v>"3,3":25,</v>
      </c>
    </row>
    <row r="20" spans="9:13" ht="50" customHeight="1" x14ac:dyDescent="0.2">
      <c r="I20" s="5">
        <v>3</v>
      </c>
      <c r="J20" s="5">
        <v>4</v>
      </c>
      <c r="K20" s="5">
        <f>HLOOKUP(I20,A$1:F$6,J20+2)</f>
        <v>8</v>
      </c>
      <c r="M20" s="5" t="str">
        <f t="shared" si="1"/>
        <v>"3,4":8,</v>
      </c>
    </row>
    <row r="21" spans="9:13" ht="50" customHeight="1" x14ac:dyDescent="0.2">
      <c r="I21" s="5">
        <v>4</v>
      </c>
      <c r="J21" s="5">
        <v>0</v>
      </c>
      <c r="K21" s="5">
        <f>HLOOKUP(I21,A$1:F$6,J21+2)</f>
        <v>20</v>
      </c>
      <c r="M21" s="5" t="str">
        <f>""""&amp;I21&amp;","&amp;J21&amp;""":"&amp;K21&amp;","</f>
        <v>"4,0":20,</v>
      </c>
    </row>
    <row r="22" spans="9:13" ht="50" customHeight="1" x14ac:dyDescent="0.2">
      <c r="I22" s="5">
        <v>4</v>
      </c>
      <c r="J22" s="5">
        <v>1</v>
      </c>
      <c r="K22" s="5">
        <f>HLOOKUP(I22,A$1:F$6,J22+2)</f>
        <v>18</v>
      </c>
      <c r="M22" s="5" t="str">
        <f t="shared" si="1"/>
        <v>"4,1":18,</v>
      </c>
    </row>
    <row r="23" spans="9:13" ht="50" customHeight="1" x14ac:dyDescent="0.2">
      <c r="I23" s="5">
        <v>4</v>
      </c>
      <c r="J23" s="5">
        <v>2</v>
      </c>
      <c r="K23" s="5">
        <f>HLOOKUP(I23,A$1:F$6,J23+2)</f>
        <v>13</v>
      </c>
      <c r="M23" s="5" t="str">
        <f t="shared" si="1"/>
        <v>"4,2":13,</v>
      </c>
    </row>
    <row r="24" spans="9:13" ht="50" customHeight="1" x14ac:dyDescent="0.2">
      <c r="I24" s="5">
        <v>4</v>
      </c>
      <c r="J24" s="5">
        <v>3</v>
      </c>
      <c r="K24" s="5">
        <f>HLOOKUP(I24,A$1:F$6,J24+2)</f>
        <v>8</v>
      </c>
      <c r="M24" s="5" t="str">
        <f t="shared" si="1"/>
        <v>"4,3":8,</v>
      </c>
    </row>
    <row r="25" spans="9:13" ht="50" customHeight="1" x14ac:dyDescent="0.2">
      <c r="I25" s="5">
        <v>4</v>
      </c>
      <c r="J25" s="5">
        <v>4</v>
      </c>
      <c r="K25" s="5">
        <f>HLOOKUP(I25,A$1:F$6,J25+2)</f>
        <v>5</v>
      </c>
      <c r="M25" s="5" t="str">
        <f t="shared" si="1"/>
        <v>"4,4":5,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Furnari</dc:creator>
  <cp:lastModifiedBy>Emanuele Furnari</cp:lastModifiedBy>
  <dcterms:created xsi:type="dcterms:W3CDTF">2023-12-29T13:24:34Z</dcterms:created>
  <dcterms:modified xsi:type="dcterms:W3CDTF">2023-12-29T15:17:41Z</dcterms:modified>
</cp:coreProperties>
</file>